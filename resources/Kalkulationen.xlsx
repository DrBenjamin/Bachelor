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/Documents/Studium/Gesundheit &amp; Management für Gesundheitsberufe (B. Sc.)/Unterricht/Modul 14/"/>
    </mc:Choice>
  </mc:AlternateContent>
  <xr:revisionPtr revIDLastSave="0" documentId="13_ncr:1_{31F397CB-AE35-7F48-9F37-3AA33807B61A}" xr6:coauthVersionLast="43" xr6:coauthVersionMax="43" xr10:uidLastSave="{00000000-0000-0000-0000-000000000000}"/>
  <bookViews>
    <workbookView xWindow="-40" yWindow="440" windowWidth="24560" windowHeight="26820" xr2:uid="{ED9D6BB4-6580-7946-98AA-FB83BF60E40C}"/>
  </bookViews>
  <sheets>
    <sheet name="Produktionskosten" sheetId="1" r:id="rId1"/>
    <sheet name="Kapitalquelle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" i="3" l="1"/>
  <c r="B8" i="1"/>
  <c r="C7" i="1" s="1"/>
  <c r="C4" i="1" l="1"/>
  <c r="C6" i="1"/>
  <c r="C5" i="1"/>
  <c r="C2" i="1"/>
  <c r="C3" i="1"/>
  <c r="C3" i="3"/>
  <c r="C4" i="3"/>
  <c r="C2" i="3"/>
  <c r="C5" i="3"/>
  <c r="C8" i="1" l="1"/>
  <c r="C6" i="3"/>
</calcChain>
</file>

<file path=xl/sharedStrings.xml><?xml version="1.0" encoding="utf-8"?>
<sst xmlns="http://schemas.openxmlformats.org/spreadsheetml/2006/main" count="18" uniqueCount="16">
  <si>
    <t>Kostenträger</t>
  </si>
  <si>
    <t>Anteil  in %</t>
  </si>
  <si>
    <t>Marketing und Geschäftsbetrieb</t>
  </si>
  <si>
    <t>Programmierung</t>
  </si>
  <si>
    <t>Musik</t>
  </si>
  <si>
    <t>Produktionskosten</t>
  </si>
  <si>
    <t>Artwork</t>
  </si>
  <si>
    <t>Kosten in €</t>
  </si>
  <si>
    <t>Banken</t>
  </si>
  <si>
    <t>Kapitalquellen</t>
  </si>
  <si>
    <t>Gesamtkapital</t>
  </si>
  <si>
    <t>Betrag in €</t>
  </si>
  <si>
    <t>Risikokapitalgeber</t>
  </si>
  <si>
    <t>Förderungen (optional)</t>
  </si>
  <si>
    <t>Crowdfunding</t>
  </si>
  <si>
    <t>Synchron-Sprecher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</si>
</sst>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4"/>
      <color rgb="FF000000"/>
      <name val="Verdana"/>
      <family val="2"/>
    </font>
    <font>
      <b/>
      <sz val="14"/>
      <color rgb="FF000000"/>
      <name val="Verdana"/>
      <family val="2"/>
    </font>
    <font>
      <b/>
      <sz val="14"/>
      <color theme="1"/>
      <name val="Verdana"/>
      <family val="2"/>
    </font>
    <font>
      <sz val="14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justify" vertical="center"/>
    </xf>
    <xf numFmtId="0" fontId="2" fillId="0" borderId="1" xfId="0" applyFont="1" applyFill="1" applyBorder="1" applyAlignment="1">
      <alignment horizontal="justify" vertical="center"/>
    </xf>
    <xf numFmtId="0" fontId="3" fillId="0" borderId="1" xfId="0" applyFont="1" applyBorder="1"/>
    <xf numFmtId="3" fontId="4" fillId="0" borderId="1" xfId="0" applyNumberFormat="1" applyFont="1" applyBorder="1"/>
    <xf numFmtId="0" fontId="4" fillId="0" borderId="1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Produktionskosten!$B$1</c:f>
              <c:strCache>
                <c:ptCount val="1"/>
                <c:pt idx="0">
                  <c:v>Kosten in €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038-0F4C-8CF4-FF07EC86E6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038-0F4C-8CF4-FF07EC86E6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038-0F4C-8CF4-FF07EC86E65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038-0F4C-8CF4-FF07EC86E65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038-0F4C-8CF4-FF07EC86E65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038-0F4C-8CF4-FF07EC86E656}"/>
              </c:ext>
            </c:extLst>
          </c:dPt>
          <c:cat>
            <c:strRef>
              <c:f>Produktionskosten!$A$2:$A$7</c:f>
              <c:strCache>
                <c:ptCount val="6"/>
                <c:pt idx="0">
                  <c:v>Crowdfunding</c:v>
                </c:pt>
                <c:pt idx="1">
                  <c:v>Synchron-Sprecher</c:v>
                </c:pt>
                <c:pt idx="2">
                  <c:v>Musik</c:v>
                </c:pt>
                <c:pt idx="3">
                  <c:v>Programmierung</c:v>
                </c:pt>
                <c:pt idx="4">
                  <c:v>Artwork</c:v>
                </c:pt>
                <c:pt idx="5">
                  <c:v>Marketing und Geschäftsbetrieb</c:v>
                </c:pt>
              </c:strCache>
            </c:strRef>
          </c:cat>
          <c:val>
            <c:numRef>
              <c:f>Produktionskosten!$B$2:$B$7</c:f>
              <c:numCache>
                <c:formatCode>#,##0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20000</c:v>
                </c:pt>
                <c:pt idx="3">
                  <c:v>60000</c:v>
                </c:pt>
                <c:pt idx="4">
                  <c:v>30000</c:v>
                </c:pt>
                <c:pt idx="5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8F-FF47-BAE8-BF02F2BBB926}"/>
            </c:ext>
          </c:extLst>
        </c:ser>
        <c:ser>
          <c:idx val="1"/>
          <c:order val="1"/>
          <c:tx>
            <c:strRef>
              <c:f>Produktionskosten!$C$1</c:f>
              <c:strCache>
                <c:ptCount val="1"/>
                <c:pt idx="0">
                  <c:v>Anteil  in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038-0F4C-8CF4-FF07EC86E6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038-0F4C-8CF4-FF07EC86E6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038-0F4C-8CF4-FF07EC86E65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038-0F4C-8CF4-FF07EC86E65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038-0F4C-8CF4-FF07EC86E65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038-0F4C-8CF4-FF07EC86E656}"/>
              </c:ext>
            </c:extLst>
          </c:dPt>
          <c:cat>
            <c:strRef>
              <c:f>Produktionskosten!$A$2:$A$7</c:f>
              <c:strCache>
                <c:ptCount val="6"/>
                <c:pt idx="0">
                  <c:v>Crowdfunding</c:v>
                </c:pt>
                <c:pt idx="1">
                  <c:v>Synchron-Sprecher</c:v>
                </c:pt>
                <c:pt idx="2">
                  <c:v>Musik</c:v>
                </c:pt>
                <c:pt idx="3">
                  <c:v>Programmierung</c:v>
                </c:pt>
                <c:pt idx="4">
                  <c:v>Artwork</c:v>
                </c:pt>
                <c:pt idx="5">
                  <c:v>Marketing und Geschäftsbetrieb</c:v>
                </c:pt>
              </c:strCache>
            </c:strRef>
          </c:cat>
          <c:val>
            <c:numRef>
              <c:f>Produktionskosten!$C$2:$C$7</c:f>
              <c:numCache>
                <c:formatCode>General</c:formatCode>
                <c:ptCount val="6"/>
                <c:pt idx="0">
                  <c:v>5</c:v>
                </c:pt>
                <c:pt idx="1">
                  <c:v>15</c:v>
                </c:pt>
                <c:pt idx="2">
                  <c:v>10</c:v>
                </c:pt>
                <c:pt idx="3">
                  <c:v>30</c:v>
                </c:pt>
                <c:pt idx="4">
                  <c:v>15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8F-FF47-BAE8-BF02F2BBB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Kapitalquellen!$B$1</c:f>
              <c:strCache>
                <c:ptCount val="1"/>
                <c:pt idx="0">
                  <c:v>Betrag in €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AE-7F42-9E4E-63D154393C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AE-7F42-9E4E-63D154393CA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4AE-7F42-9E4E-63D154393CA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4AE-7F42-9E4E-63D154393CA6}"/>
              </c:ext>
            </c:extLst>
          </c:dPt>
          <c:cat>
            <c:strRef>
              <c:f>Kapitalquellen!$A$2:$A$5</c:f>
              <c:strCache>
                <c:ptCount val="4"/>
                <c:pt idx="0">
                  <c:v>Crowdfunding</c:v>
                </c:pt>
                <c:pt idx="1">
                  <c:v>Banken</c:v>
                </c:pt>
                <c:pt idx="2">
                  <c:v>Risikokapitalgeber</c:v>
                </c:pt>
                <c:pt idx="3">
                  <c:v>Förderungen (optional)</c:v>
                </c:pt>
              </c:strCache>
            </c:strRef>
          </c:cat>
          <c:val>
            <c:numRef>
              <c:f>Kapitalquellen!$B$2:$B$5</c:f>
              <c:numCache>
                <c:formatCode>#,##0</c:formatCode>
                <c:ptCount val="4"/>
                <c:pt idx="0">
                  <c:v>50000</c:v>
                </c:pt>
                <c:pt idx="1">
                  <c:v>50000</c:v>
                </c:pt>
                <c:pt idx="2">
                  <c:v>100000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4AE-7F42-9E4E-63D154393CA6}"/>
            </c:ext>
          </c:extLst>
        </c:ser>
        <c:ser>
          <c:idx val="1"/>
          <c:order val="1"/>
          <c:tx>
            <c:strRef>
              <c:f>Kapitalquellen!$C$1</c:f>
              <c:strCache>
                <c:ptCount val="1"/>
                <c:pt idx="0">
                  <c:v>Anteil  in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E4AE-7F42-9E4E-63D154393C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E4AE-7F42-9E4E-63D154393CA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E4AE-7F42-9E4E-63D154393CA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E4AE-7F42-9E4E-63D154393CA6}"/>
              </c:ext>
            </c:extLst>
          </c:dPt>
          <c:cat>
            <c:strRef>
              <c:f>Kapitalquellen!$A$2:$A$5</c:f>
              <c:strCache>
                <c:ptCount val="4"/>
                <c:pt idx="0">
                  <c:v>Crowdfunding</c:v>
                </c:pt>
                <c:pt idx="1">
                  <c:v>Banken</c:v>
                </c:pt>
                <c:pt idx="2">
                  <c:v>Risikokapitalgeber</c:v>
                </c:pt>
                <c:pt idx="3">
                  <c:v>Förderungen (optional)</c:v>
                </c:pt>
              </c:strCache>
            </c:strRef>
          </c:cat>
          <c:val>
            <c:numRef>
              <c:f>Kapitalquellen!$C$2:$C$5</c:f>
              <c:numCache>
                <c:formatCode>General</c:formatCode>
                <c:ptCount val="4"/>
                <c:pt idx="0">
                  <c:v>25</c:v>
                </c:pt>
                <c:pt idx="1">
                  <c:v>25</c:v>
                </c:pt>
                <c:pt idx="2">
                  <c:v>50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4AE-7F42-9E4E-63D154393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31750</xdr:colOff>
      <xdr:row>0</xdr:row>
      <xdr:rowOff>0</xdr:rowOff>
    </xdr:from>
    <xdr:to>
      <xdr:col>8</xdr:col>
      <xdr:colOff>749300</xdr:colOff>
      <xdr:row>8</xdr:row>
      <xdr:rowOff>12700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F82BFC5-71C8-E346-B8AE-295F3E5DA8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31750</xdr:colOff>
      <xdr:row>0</xdr:row>
      <xdr:rowOff>0</xdr:rowOff>
    </xdr:from>
    <xdr:to>
      <xdr:col>8</xdr:col>
      <xdr:colOff>749300</xdr:colOff>
      <xdr:row>5</xdr:row>
      <xdr:rowOff>317500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9FDBA57-E884-C247-B6A7-D5BCE1738B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9BA3F-96DF-EA45-A6D5-1C8D91BEF3F9}">
  <dimension ref="A1:C8"/>
  <sheetViews>
    <sheetView tabSelected="1" workbookViewId="0">
      <selection activeCell="A23" sqref="A23"/>
    </sheetView>
  </sheetViews>
  <sheetFormatPr baseColWidth="10" defaultRowHeight="16" x14ac:dyDescent="0.2"/>
  <cols>
    <col min="1" max="1" width="40.6640625" customWidth="1"/>
    <col min="2" max="2" width="16.33203125" bestFit="1" customWidth="1"/>
    <col min="3" max="3" width="17.33203125" bestFit="1" customWidth="1"/>
  </cols>
  <sheetData>
    <row r="1" spans="1:3" ht="27" customHeight="1" x14ac:dyDescent="0.2">
      <c r="A1" s="3" t="s">
        <v>0</v>
      </c>
      <c r="B1" s="3" t="s">
        <v>7</v>
      </c>
      <c r="C1" s="3" t="s">
        <v>1</v>
      </c>
    </row>
    <row r="2" spans="1:3" ht="26" customHeight="1" x14ac:dyDescent="0.2">
      <c r="A2" s="1" t="s">
        <v>14</v>
      </c>
      <c r="B2" s="4">
        <v>10000</v>
      </c>
      <c r="C2" s="5">
        <f>100/B8*B2</f>
        <v>5</v>
      </c>
    </row>
    <row r="3" spans="1:3" ht="26" customHeight="1" x14ac:dyDescent="0.2">
      <c r="A3" s="1" t="s">
        <v>15</v>
      </c>
      <c r="B3" s="4">
        <v>30000</v>
      </c>
      <c r="C3" s="5">
        <f>100/B8*B3</f>
        <v>15</v>
      </c>
    </row>
    <row r="4" spans="1:3" ht="26" customHeight="1" x14ac:dyDescent="0.2">
      <c r="A4" s="1" t="s">
        <v>4</v>
      </c>
      <c r="B4" s="4">
        <v>20000</v>
      </c>
      <c r="C4" s="5">
        <f>100/B8*B4</f>
        <v>10</v>
      </c>
    </row>
    <row r="5" spans="1:3" ht="26" customHeight="1" x14ac:dyDescent="0.2">
      <c r="A5" s="1" t="s">
        <v>3</v>
      </c>
      <c r="B5" s="4">
        <v>60000</v>
      </c>
      <c r="C5" s="5">
        <f>100/B8*B5</f>
        <v>30</v>
      </c>
    </row>
    <row r="6" spans="1:3" ht="26" customHeight="1" x14ac:dyDescent="0.2">
      <c r="A6" s="1" t="s">
        <v>6</v>
      </c>
      <c r="B6" s="4">
        <v>30000</v>
      </c>
      <c r="C6" s="5">
        <f>100/B8*B6</f>
        <v>15</v>
      </c>
    </row>
    <row r="7" spans="1:3" ht="26" customHeight="1" x14ac:dyDescent="0.2">
      <c r="A7" s="1" t="s">
        <v>2</v>
      </c>
      <c r="B7" s="4">
        <v>50000</v>
      </c>
      <c r="C7" s="5">
        <f>100/B8*B7</f>
        <v>25</v>
      </c>
    </row>
    <row r="8" spans="1:3" ht="26" customHeight="1" x14ac:dyDescent="0.2">
      <c r="A8" s="2" t="s">
        <v>5</v>
      </c>
      <c r="B8" s="4">
        <f>SUM(B2:B7)</f>
        <v>200000</v>
      </c>
      <c r="C8" s="5">
        <f>SUM(C2:C7)</f>
        <v>100</v>
      </c>
    </row>
  </sheetData>
  <pageMargins left="0.7" right="0" top="0.78740157499999996" bottom="0.78740157499999996" header="0.3" footer="0.3"/>
  <pageSetup paperSize="9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6C7AA-CB43-4547-AF28-F54FA055A544}">
  <dimension ref="A1:C8"/>
  <sheetViews>
    <sheetView workbookViewId="0">
      <selection activeCell="C8" sqref="C8"/>
    </sheetView>
  </sheetViews>
  <sheetFormatPr baseColWidth="10" defaultRowHeight="16" x14ac:dyDescent="0.2"/>
  <cols>
    <col min="1" max="1" width="29.33203125" customWidth="1"/>
    <col min="2" max="2" width="16" bestFit="1" customWidth="1"/>
    <col min="3" max="3" width="17.33203125" bestFit="1" customWidth="1"/>
  </cols>
  <sheetData>
    <row r="1" spans="1:3" ht="27" customHeight="1" x14ac:dyDescent="0.2">
      <c r="A1" s="3" t="s">
        <v>9</v>
      </c>
      <c r="B1" s="3" t="s">
        <v>11</v>
      </c>
      <c r="C1" s="3" t="s">
        <v>1</v>
      </c>
    </row>
    <row r="2" spans="1:3" ht="26" customHeight="1" x14ac:dyDescent="0.2">
      <c r="A2" s="1" t="s">
        <v>14</v>
      </c>
      <c r="B2" s="4">
        <v>50000</v>
      </c>
      <c r="C2" s="5">
        <f>100/B6*B2</f>
        <v>25</v>
      </c>
    </row>
    <row r="3" spans="1:3" ht="26" customHeight="1" x14ac:dyDescent="0.2">
      <c r="A3" s="1" t="s">
        <v>8</v>
      </c>
      <c r="B3" s="4">
        <v>50000</v>
      </c>
      <c r="C3" s="5">
        <f>100/B6*B3</f>
        <v>25</v>
      </c>
    </row>
    <row r="4" spans="1:3" ht="26" customHeight="1" x14ac:dyDescent="0.2">
      <c r="A4" s="1" t="s">
        <v>12</v>
      </c>
      <c r="B4" s="4">
        <v>100000</v>
      </c>
      <c r="C4" s="5">
        <f>100/B6*B4</f>
        <v>50</v>
      </c>
    </row>
    <row r="5" spans="1:3" ht="26" customHeight="1" x14ac:dyDescent="0.2">
      <c r="A5" s="1" t="s">
        <v>13</v>
      </c>
      <c r="B5" s="4">
        <v>0</v>
      </c>
      <c r="C5" s="5">
        <f>100/B6*B5</f>
        <v>0</v>
      </c>
    </row>
    <row r="6" spans="1:3" ht="26" customHeight="1" x14ac:dyDescent="0.2">
      <c r="A6" s="2" t="s">
        <v>10</v>
      </c>
      <c r="B6" s="4">
        <f>SUM(B2:B5)</f>
        <v>200000</v>
      </c>
      <c r="C6" s="5">
        <f>SUM(C2:C5)</f>
        <v>100</v>
      </c>
    </row>
    <row r="7" spans="1:3" ht="26" customHeight="1" x14ac:dyDescent="0.2"/>
    <row r="8" spans="1:3" ht="26" customHeight="1" x14ac:dyDescent="0.2"/>
  </sheetData>
  <pageMargins left="0.7" right="0.7" top="0.78740157499999996" bottom="0.78740157499999996" header="0.3" footer="0.3"/>
  <pageSetup paperSize="9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Produktionskosten</vt:lpstr>
      <vt:lpstr>Kapitalquellen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Benjamin Groß</cp:lastModifiedBy>
  <cp:lastPrinted>2019-06-10T13:06:49Z</cp:lastPrinted>
  <dcterms:created xsi:type="dcterms:W3CDTF">2019-06-05T06:56:48Z</dcterms:created>
  <dcterms:modified xsi:type="dcterms:W3CDTF">2019-06-10T13:07:49Z</dcterms:modified>
</cp:coreProperties>
</file>